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filterPrivacy="1" codeName="ThisWorkbook" defaultThemeVersion="124226"/>
  <bookViews>
    <workbookView xWindow="0" yWindow="0" windowWidth="29070" windowHeight="15870" tabRatio="867"/>
  </bookViews>
  <sheets>
    <sheet name="说明" sheetId="1" r:id="rId1"/>
    <sheet name="wallrebar" sheetId="26" state="hidden" r:id="rId2"/>
  </sheets>
  <functionGroups builtInGroupCount="18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71027"/>
</workbook>
</file>

<file path=xl/calcChain.xml><?xml version="1.0" encoding="utf-8"?>
<calcChain xmlns="http://schemas.openxmlformats.org/spreadsheetml/2006/main">
  <c r="U30" i="26" l="1"/>
  <c r="V30" i="26" s="1"/>
  <c r="Q30" i="26"/>
  <c r="R30" i="26" s="1"/>
  <c r="I30" i="26"/>
  <c r="J30" i="26" s="1"/>
  <c r="E30" i="26"/>
  <c r="F30" i="26" s="1"/>
  <c r="U29" i="26"/>
  <c r="V29" i="26" s="1"/>
  <c r="Q29" i="26"/>
  <c r="R29" i="26" s="1"/>
  <c r="I29" i="26"/>
  <c r="J29" i="26" s="1"/>
  <c r="E29" i="26"/>
  <c r="F29" i="26" s="1"/>
  <c r="U28" i="26"/>
  <c r="V28" i="26" s="1"/>
  <c r="Q28" i="26"/>
  <c r="R28" i="26" s="1"/>
  <c r="I28" i="26"/>
  <c r="J28" i="26" s="1"/>
  <c r="E28" i="26"/>
  <c r="F28" i="26" s="1"/>
  <c r="U27" i="26"/>
  <c r="V27" i="26" s="1"/>
  <c r="Q27" i="26"/>
  <c r="R27" i="26" s="1"/>
  <c r="I27" i="26"/>
  <c r="J27" i="26" s="1"/>
  <c r="E27" i="26"/>
  <c r="F27" i="26" s="1"/>
  <c r="U26" i="26"/>
  <c r="V26" i="26" s="1"/>
  <c r="Q26" i="26"/>
  <c r="R26" i="26" s="1"/>
  <c r="I26" i="26"/>
  <c r="J26" i="26" s="1"/>
  <c r="E26" i="26"/>
  <c r="F26" i="26" s="1"/>
  <c r="U25" i="26"/>
  <c r="V25" i="26" s="1"/>
  <c r="Q25" i="26"/>
  <c r="R25" i="26" s="1"/>
  <c r="I25" i="26"/>
  <c r="J25" i="26" s="1"/>
  <c r="E25" i="26"/>
  <c r="F25" i="26" s="1"/>
  <c r="U24" i="26"/>
  <c r="V24" i="26" s="1"/>
  <c r="Q24" i="26"/>
  <c r="R24" i="26" s="1"/>
  <c r="I24" i="26"/>
  <c r="J24" i="26" s="1"/>
  <c r="E24" i="26"/>
  <c r="F24" i="26" s="1"/>
  <c r="U23" i="26"/>
  <c r="V23" i="26" s="1"/>
  <c r="Q23" i="26"/>
  <c r="R23" i="26" s="1"/>
  <c r="I23" i="26"/>
  <c r="J23" i="26" s="1"/>
  <c r="E23" i="26"/>
  <c r="F23" i="26" s="1"/>
  <c r="U22" i="26"/>
  <c r="V22" i="26" s="1"/>
  <c r="Q22" i="26"/>
  <c r="R22" i="26" s="1"/>
  <c r="I22" i="26"/>
  <c r="J22" i="26" s="1"/>
  <c r="E22" i="26"/>
  <c r="F22" i="26" s="1"/>
  <c r="U21" i="26"/>
  <c r="V21" i="26" s="1"/>
  <c r="Q21" i="26"/>
  <c r="R21" i="26" s="1"/>
  <c r="I21" i="26"/>
  <c r="J21" i="26" s="1"/>
  <c r="E21" i="26"/>
  <c r="F21" i="26" s="1"/>
  <c r="U20" i="26"/>
  <c r="V20" i="26" s="1"/>
  <c r="Q20" i="26"/>
  <c r="R20" i="26" s="1"/>
  <c r="I20" i="26"/>
  <c r="J20" i="26" s="1"/>
  <c r="E20" i="26"/>
  <c r="F20" i="26" s="1"/>
  <c r="U19" i="26"/>
  <c r="V19" i="26" s="1"/>
  <c r="Q19" i="26"/>
  <c r="R19" i="26" s="1"/>
  <c r="I19" i="26"/>
  <c r="J19" i="26" s="1"/>
  <c r="E19" i="26"/>
  <c r="F19" i="26" s="1"/>
  <c r="U18" i="26"/>
  <c r="V18" i="26" s="1"/>
  <c r="Q18" i="26"/>
  <c r="R18" i="26" s="1"/>
  <c r="I18" i="26"/>
  <c r="J18" i="26" s="1"/>
  <c r="E18" i="26"/>
  <c r="F18" i="26" s="1"/>
  <c r="U17" i="26"/>
  <c r="V17" i="26" s="1"/>
  <c r="Q17" i="26"/>
  <c r="R17" i="26" s="1"/>
  <c r="I17" i="26"/>
  <c r="J17" i="26" s="1"/>
  <c r="E17" i="26"/>
  <c r="F17" i="26" s="1"/>
  <c r="U16" i="26"/>
  <c r="V16" i="26" s="1"/>
  <c r="Q16" i="26"/>
  <c r="R16" i="26" s="1"/>
  <c r="I16" i="26"/>
  <c r="J16" i="26" s="1"/>
  <c r="E16" i="26"/>
  <c r="F16" i="26" s="1"/>
  <c r="U15" i="26"/>
  <c r="V15" i="26" s="1"/>
  <c r="Q15" i="26"/>
  <c r="R15" i="26" s="1"/>
  <c r="I15" i="26"/>
  <c r="J15" i="26" s="1"/>
  <c r="E15" i="26"/>
  <c r="F15" i="26" s="1"/>
  <c r="U14" i="26"/>
  <c r="V14" i="26" s="1"/>
  <c r="Q14" i="26"/>
  <c r="R14" i="26" s="1"/>
  <c r="I14" i="26"/>
  <c r="J14" i="26" s="1"/>
  <c r="E14" i="26"/>
  <c r="F14" i="26" s="1"/>
  <c r="U13" i="26"/>
  <c r="V13" i="26" s="1"/>
  <c r="Q13" i="26"/>
  <c r="R13" i="26" s="1"/>
  <c r="I13" i="26"/>
  <c r="J13" i="26" s="1"/>
  <c r="E13" i="26"/>
  <c r="F13" i="26" s="1"/>
  <c r="U12" i="26"/>
  <c r="V12" i="26" s="1"/>
  <c r="R12" i="26"/>
  <c r="I12" i="26"/>
  <c r="J12" i="26" s="1"/>
  <c r="F12" i="26"/>
  <c r="U11" i="26"/>
  <c r="V11" i="26" s="1"/>
  <c r="R11" i="26"/>
  <c r="J11" i="26"/>
  <c r="I11" i="26"/>
  <c r="F11" i="26"/>
  <c r="U10" i="26"/>
  <c r="V10" i="26" s="1"/>
  <c r="R10" i="26"/>
  <c r="I10" i="26"/>
  <c r="J10" i="26" s="1"/>
  <c r="F10" i="26"/>
  <c r="U9" i="26"/>
  <c r="V9" i="26" s="1"/>
  <c r="R9" i="26"/>
  <c r="I9" i="26"/>
  <c r="J9" i="26" s="1"/>
  <c r="F9" i="26"/>
  <c r="U8" i="26"/>
  <c r="V8" i="26" s="1"/>
  <c r="Q8" i="26"/>
  <c r="R8" i="26" s="1"/>
  <c r="I8" i="26"/>
  <c r="J8" i="26" s="1"/>
  <c r="E8" i="26"/>
  <c r="F8" i="26" s="1"/>
  <c r="U7" i="26"/>
  <c r="V7" i="26" s="1"/>
  <c r="Q7" i="26"/>
  <c r="R7" i="26" s="1"/>
  <c r="I7" i="26"/>
  <c r="J7" i="26" s="1"/>
  <c r="E7" i="26"/>
  <c r="F7" i="26" s="1"/>
  <c r="U6" i="26"/>
  <c r="V6" i="26" s="1"/>
  <c r="Q6" i="26"/>
  <c r="R6" i="26" s="1"/>
  <c r="I6" i="26"/>
  <c r="J6" i="26" s="1"/>
  <c r="E6" i="26"/>
  <c r="F6" i="26" s="1"/>
  <c r="U5" i="26"/>
  <c r="V5" i="26" s="1"/>
  <c r="Q5" i="26"/>
  <c r="R5" i="26" s="1"/>
  <c r="I5" i="26"/>
  <c r="J5" i="26" s="1"/>
  <c r="E5" i="26"/>
  <c r="F5" i="26" s="1"/>
  <c r="U4" i="26"/>
  <c r="V4" i="26" s="1"/>
  <c r="Q4" i="26"/>
  <c r="R4" i="26" s="1"/>
  <c r="I4" i="26"/>
  <c r="J4" i="26" s="1"/>
  <c r="E4" i="26"/>
  <c r="F4" i="26" s="1"/>
</calcChain>
</file>

<file path=xl/sharedStrings.xml><?xml version="1.0" encoding="utf-8"?>
<sst xmlns="http://schemas.openxmlformats.org/spreadsheetml/2006/main" count="37" uniqueCount="22">
  <si>
    <t>说明</t>
    <phoneticPr fontId="3" type="noConversion"/>
  </si>
  <si>
    <t>2.按F2调出程序窗口，或者点击以下摁钮。</t>
    <phoneticPr fontId="3" type="noConversion"/>
  </si>
  <si>
    <t xml:space="preserve"> </t>
    <phoneticPr fontId="3" type="noConversion"/>
  </si>
  <si>
    <t>墙厚</t>
    <phoneticPr fontId="1" type="noConversion"/>
  </si>
  <si>
    <t>水平分布筋</t>
    <phoneticPr fontId="1" type="noConversion"/>
  </si>
  <si>
    <t>配筋率</t>
    <phoneticPr fontId="1" type="noConversion"/>
  </si>
  <si>
    <t>竖向分布筋</t>
    <phoneticPr fontId="1" type="noConversion"/>
  </si>
  <si>
    <t>直径</t>
    <phoneticPr fontId="1" type="noConversion"/>
  </si>
  <si>
    <t>间隔</t>
    <phoneticPr fontId="1" type="noConversion"/>
  </si>
  <si>
    <t>排数</t>
    <phoneticPr fontId="1" type="noConversion"/>
  </si>
  <si>
    <t>多模型对比</t>
    <phoneticPr fontId="1" type="noConversion"/>
  </si>
  <si>
    <t>F1</t>
    <phoneticPr fontId="1" type="noConversion"/>
  </si>
  <si>
    <r>
      <rPr>
        <b/>
        <sz val="9"/>
        <color theme="1"/>
        <rFont val="宋体"/>
        <family val="3"/>
        <charset val="134"/>
        <scheme val="minor"/>
      </rPr>
      <t>操作说明:</t>
    </r>
    <r>
      <rPr>
        <sz val="9"/>
        <color theme="1"/>
        <rFont val="宋体"/>
        <family val="3"/>
        <charset val="134"/>
        <scheme val="minor"/>
      </rPr>
      <t xml:space="preserve">
1. 将要对比的模型数据工作表重命名并将命名的工作表名填入表中,填入拟显示在图中的标题名；
2. 填入拟生成的对比工作表名称；
3. 在窗体“模型对比”项下生成“绘图限值”；
4. 点击“点击生成模型对比”按钮,生成对比图表。
例如，读取一PKPM模型后将生成的“d_P”表重命名为“d_模型1”，再读取另一PKPM模型，再将生成的“d_P”表重命名为“d_模型2”；
将“d_模型1”和“d_模型2”填入“模型工作表”一列，“图表标题名”对应写为“模型1”和“模型2”；
命名“对比图表工作表名称”为“F1”；
点击按钮，则在“F1”工作表下生成“d_模型1”和“d_模型2”两个结果的对比，标题名分别为“模型1”和“模型2”。
</t>
    </r>
    <phoneticPr fontId="1" type="noConversion"/>
  </si>
  <si>
    <r>
      <rPr>
        <sz val="11"/>
        <color theme="1"/>
        <rFont val="宋体"/>
        <family val="3"/>
        <charset val="134"/>
      </rPr>
      <t>对比图表工作表名称</t>
    </r>
    <phoneticPr fontId="1" type="noConversion"/>
  </si>
  <si>
    <r>
      <rPr>
        <sz val="11"/>
        <color theme="1"/>
        <rFont val="宋体"/>
        <family val="2"/>
      </rPr>
      <t>模型工作表</t>
    </r>
    <phoneticPr fontId="1" type="noConversion"/>
  </si>
  <si>
    <r>
      <rPr>
        <sz val="11"/>
        <color theme="1"/>
        <rFont val="宋体"/>
        <family val="2"/>
      </rPr>
      <t>图表标题名</t>
    </r>
    <phoneticPr fontId="1" type="noConversion"/>
  </si>
  <si>
    <r>
      <rPr>
        <sz val="11"/>
        <color theme="1"/>
        <rFont val="宋体"/>
        <family val="2"/>
      </rPr>
      <t>备注</t>
    </r>
    <phoneticPr fontId="1" type="noConversion"/>
  </si>
  <si>
    <t>1.详细说明请查阅PDF版“OUTReader V1.0使用说明”。</t>
    <phoneticPr fontId="3" type="noConversion"/>
  </si>
  <si>
    <t>（下载）</t>
    <phoneticPr fontId="1" type="noConversion"/>
  </si>
  <si>
    <t>剪力墙分布筋构造配筋(底部加强区)</t>
    <phoneticPr fontId="1" type="noConversion"/>
  </si>
  <si>
    <t>剪力墙分布筋构造配筋(非底部加强区)</t>
    <phoneticPr fontId="1" type="noConversion"/>
  </si>
  <si>
    <t xml:space="preserve">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</si>
</sst>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8"/>
      <color rgb="FFFF000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黑体"/>
      <family val="3"/>
      <charset val="134"/>
    </font>
    <font>
      <sz val="11"/>
      <color theme="1"/>
      <name val="Times New Roman"/>
      <family val="1"/>
    </font>
    <font>
      <sz val="11"/>
      <color theme="1"/>
      <name val="宋体"/>
      <family val="2"/>
    </font>
    <font>
      <sz val="11"/>
      <color theme="1"/>
      <name val="宋体"/>
      <family val="3"/>
      <charset val="134"/>
    </font>
    <font>
      <b/>
      <sz val="11"/>
      <color theme="1"/>
      <name val="宋体"/>
      <family val="3"/>
      <charset val="134"/>
    </font>
    <font>
      <sz val="9"/>
      <color theme="1"/>
      <name val="宋体"/>
      <family val="3"/>
      <charset val="134"/>
      <scheme val="minor"/>
    </font>
    <font>
      <b/>
      <sz val="9"/>
      <color theme="1"/>
      <name val="宋体"/>
      <family val="3"/>
      <charset val="134"/>
      <scheme val="minor"/>
    </font>
    <font>
      <u/>
      <sz val="11"/>
      <color theme="10"/>
      <name val="宋体"/>
      <family val="2"/>
      <scheme val="minor"/>
    </font>
    <font>
      <sz val="11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3" borderId="0" xfId="0" applyFill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3" xfId="0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5" xfId="0" applyFill="1" applyBorder="1" applyAlignment="1">
      <alignment vertical="top"/>
    </xf>
    <xf numFmtId="0" fontId="5" fillId="0" borderId="1" xfId="0" applyFont="1" applyFill="1" applyBorder="1" applyAlignment="1">
      <alignment horizontal="center" vertical="top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top"/>
    </xf>
    <xf numFmtId="0" fontId="11" fillId="0" borderId="3" xfId="1" applyFill="1" applyBorder="1" applyAlignment="1">
      <alignment vertical="top"/>
    </xf>
    <xf numFmtId="0" fontId="0" fillId="2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0" fontId="0" fillId="4" borderId="1" xfId="0" applyNumberFormat="1" applyFill="1" applyBorder="1" applyAlignment="1">
      <alignment horizontal="center" vertical="center"/>
    </xf>
    <xf numFmtId="9" fontId="7" fillId="0" borderId="1" xfId="0" applyNumberFormat="1" applyFont="1" applyFill="1" applyBorder="1" applyAlignment="1">
      <alignment horizontal="center" vertical="center"/>
    </xf>
    <xf numFmtId="9" fontId="6" fillId="0" borderId="1" xfId="0" applyNumberFormat="1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top"/>
    </xf>
    <xf numFmtId="0" fontId="5" fillId="2" borderId="7" xfId="0" applyFont="1" applyFill="1" applyBorder="1" applyAlignment="1">
      <alignment horizontal="center" vertical="top"/>
    </xf>
    <xf numFmtId="0" fontId="9" fillId="0" borderId="9" xfId="0" applyFont="1" applyFill="1" applyBorder="1" applyAlignment="1">
      <alignment horizontal="left" vertical="top" wrapText="1"/>
    </xf>
    <xf numFmtId="0" fontId="9" fillId="0" borderId="11" xfId="0" applyFont="1" applyFill="1" applyBorder="1" applyAlignment="1">
      <alignment horizontal="left" vertical="top" wrapText="1"/>
    </xf>
    <xf numFmtId="0" fontId="9" fillId="0" borderId="8" xfId="0" applyFont="1" applyFill="1" applyBorder="1" applyAlignment="1">
      <alignment horizontal="left" vertical="top" wrapText="1"/>
    </xf>
    <xf numFmtId="0" fontId="9" fillId="0" borderId="4" xfId="0" applyFont="1" applyFill="1" applyBorder="1" applyAlignment="1">
      <alignment horizontal="left" vertical="top" wrapText="1"/>
    </xf>
    <xf numFmtId="0" fontId="9" fillId="0" borderId="0" xfId="0" applyFont="1" applyFill="1" applyBorder="1" applyAlignment="1">
      <alignment horizontal="left" vertical="top" wrapText="1"/>
    </xf>
    <xf numFmtId="0" fontId="9" fillId="0" borderId="3" xfId="0" applyFont="1" applyFill="1" applyBorder="1" applyAlignment="1">
      <alignment horizontal="left" vertical="top" wrapText="1"/>
    </xf>
    <xf numFmtId="0" fontId="9" fillId="0" borderId="6" xfId="0" applyFont="1" applyFill="1" applyBorder="1" applyAlignment="1">
      <alignment horizontal="left" vertical="top" wrapText="1"/>
    </xf>
    <xf numFmtId="0" fontId="9" fillId="0" borderId="2" xfId="0" applyFont="1" applyFill="1" applyBorder="1" applyAlignment="1">
      <alignment horizontal="left" vertical="top" wrapText="1"/>
    </xf>
    <xf numFmtId="0" fontId="9" fillId="0" borderId="5" xfId="0" applyFont="1" applyFill="1" applyBorder="1" applyAlignment="1">
      <alignment horizontal="left" vertical="top" wrapText="1"/>
    </xf>
    <xf numFmtId="0" fontId="2" fillId="0" borderId="0" xfId="0" applyFont="1" applyFill="1" applyBorder="1" applyAlignment="1">
      <alignment horizontal="center" vertical="top"/>
    </xf>
    <xf numFmtId="0" fontId="4" fillId="0" borderId="0" xfId="0" applyFont="1" applyFill="1" applyBorder="1" applyAlignment="1">
      <alignment horizontal="left" vertical="top"/>
    </xf>
    <xf numFmtId="0" fontId="4" fillId="0" borderId="3" xfId="0" applyFont="1" applyFill="1" applyBorder="1" applyAlignment="1">
      <alignment horizontal="left" vertical="top"/>
    </xf>
    <xf numFmtId="0" fontId="8" fillId="0" borderId="10" xfId="0" applyFont="1" applyFill="1" applyBorder="1" applyAlignment="1">
      <alignment horizontal="center" vertical="top"/>
    </xf>
    <xf numFmtId="0" fontId="8" fillId="0" borderId="7" xfId="0" applyFont="1" applyFill="1" applyBorder="1" applyAlignment="1">
      <alignment horizontal="center" vertical="top"/>
    </xf>
    <xf numFmtId="0" fontId="0" fillId="2" borderId="1" xfId="0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"/>
      <tableStyleElement type="headerRow" dxfId="0"/>
    </tableStyle>
  </tableStyles>
  <colors>
    <mruColors>
      <color rgb="FF009900"/>
      <color rgb="FFCCFFCC"/>
      <color rgb="FFFFFFCC"/>
      <color rgb="FFCCFFFF"/>
      <color rgb="FF66CCFF"/>
      <color rgb="FF00B050"/>
      <color rgb="FFFFFF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7</xdr:row>
          <xdr:rowOff>9525</xdr:rowOff>
        </xdr:from>
        <xdr:to>
          <xdr:col>3</xdr:col>
          <xdr:colOff>9525</xdr:colOff>
          <xdr:row>9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点击弹出程序窗口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29</xdr:row>
          <xdr:rowOff>28575</xdr:rowOff>
        </xdr:from>
        <xdr:to>
          <xdr:col>2</xdr:col>
          <xdr:colOff>180975</xdr:colOff>
          <xdr:row>30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点击生成模型对比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vdisk.weibo.com/s/GOr1Cs5rhRXV/1400583244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33"/>
  <sheetViews>
    <sheetView showGridLines="0" tabSelected="1" topLeftCell="A7" workbookViewId="0">
      <selection activeCell="I24" sqref="I24"/>
    </sheetView>
  </sheetViews>
  <sheetFormatPr defaultRowHeight="13.5" x14ac:dyDescent="0.15"/>
  <cols>
    <col min="1" max="1" width="9.625" style="6" customWidth="1"/>
    <col min="2" max="2" width="10.25" style="6" customWidth="1"/>
    <col min="3" max="3" width="10.125" style="6" customWidth="1"/>
    <col min="4" max="4" width="9" style="6"/>
    <col min="5" max="5" width="9" style="6" customWidth="1"/>
    <col min="6" max="16384" width="9" style="6"/>
  </cols>
  <sheetData>
    <row r="1" spans="1:6" ht="13.5" customHeight="1" x14ac:dyDescent="0.15">
      <c r="A1" s="7"/>
      <c r="B1" s="7"/>
      <c r="C1" s="7"/>
      <c r="D1" s="7"/>
      <c r="E1" s="7"/>
      <c r="F1" s="8"/>
    </row>
    <row r="2" spans="1:6" ht="22.5" x14ac:dyDescent="0.15">
      <c r="A2" s="7"/>
      <c r="B2" s="31" t="s">
        <v>0</v>
      </c>
      <c r="C2" s="31"/>
      <c r="D2" s="7"/>
      <c r="E2" s="7"/>
      <c r="F2" s="8"/>
    </row>
    <row r="3" spans="1:6" x14ac:dyDescent="0.15">
      <c r="A3" s="7"/>
      <c r="B3" s="7"/>
      <c r="C3" s="7"/>
      <c r="D3" s="7"/>
      <c r="E3" s="7"/>
      <c r="F3" s="8"/>
    </row>
    <row r="4" spans="1:6" x14ac:dyDescent="0.15">
      <c r="A4" s="32" t="s">
        <v>17</v>
      </c>
      <c r="B4" s="32"/>
      <c r="C4" s="32"/>
      <c r="D4" s="32"/>
      <c r="E4" s="32"/>
      <c r="F4" s="14" t="s">
        <v>18</v>
      </c>
    </row>
    <row r="5" spans="1:6" x14ac:dyDescent="0.15">
      <c r="A5" s="7"/>
      <c r="B5" s="7"/>
      <c r="C5" s="7"/>
      <c r="D5" s="7"/>
      <c r="E5" s="7"/>
      <c r="F5" s="8"/>
    </row>
    <row r="6" spans="1:6" x14ac:dyDescent="0.15">
      <c r="A6" s="32" t="s">
        <v>1</v>
      </c>
      <c r="B6" s="32"/>
      <c r="C6" s="32"/>
      <c r="D6" s="32"/>
      <c r="E6" s="32"/>
      <c r="F6" s="33"/>
    </row>
    <row r="7" spans="1:6" x14ac:dyDescent="0.15">
      <c r="A7" s="7"/>
      <c r="B7" s="7"/>
      <c r="C7" s="7"/>
      <c r="D7" s="7"/>
      <c r="E7" s="7"/>
      <c r="F7" s="8"/>
    </row>
    <row r="8" spans="1:6" x14ac:dyDescent="0.15">
      <c r="A8" s="7"/>
      <c r="B8" s="7"/>
      <c r="C8" s="7"/>
      <c r="D8" s="7"/>
      <c r="E8" s="7"/>
      <c r="F8" s="8"/>
    </row>
    <row r="9" spans="1:6" x14ac:dyDescent="0.15">
      <c r="A9" s="7"/>
      <c r="B9" s="7"/>
      <c r="C9" s="7"/>
      <c r="D9" s="7"/>
      <c r="E9" s="7"/>
      <c r="F9" s="8"/>
    </row>
    <row r="10" spans="1:6" x14ac:dyDescent="0.15">
      <c r="A10" s="9"/>
      <c r="B10" s="9"/>
      <c r="C10" s="9"/>
      <c r="D10" s="9"/>
      <c r="E10" s="9"/>
      <c r="F10" s="10"/>
    </row>
    <row r="14" spans="1:6" ht="15" customHeight="1" x14ac:dyDescent="0.15">
      <c r="A14" s="34" t="s">
        <v>10</v>
      </c>
      <c r="B14" s="34"/>
      <c r="C14" s="35"/>
      <c r="D14" s="22" t="s">
        <v>12</v>
      </c>
      <c r="E14" s="23"/>
      <c r="F14" s="24"/>
    </row>
    <row r="15" spans="1:6" ht="15" x14ac:dyDescent="0.15">
      <c r="A15" s="20" t="s">
        <v>13</v>
      </c>
      <c r="B15" s="21"/>
      <c r="C15" s="11" t="s">
        <v>11</v>
      </c>
      <c r="D15" s="25"/>
      <c r="E15" s="26"/>
      <c r="F15" s="27"/>
    </row>
    <row r="16" spans="1:6" ht="15" x14ac:dyDescent="0.15">
      <c r="A16" s="5" t="s">
        <v>14</v>
      </c>
      <c r="B16" s="5" t="s">
        <v>15</v>
      </c>
      <c r="C16" s="5" t="s">
        <v>16</v>
      </c>
      <c r="D16" s="25"/>
      <c r="E16" s="26"/>
      <c r="F16" s="27"/>
    </row>
    <row r="17" spans="1:16" ht="15" x14ac:dyDescent="0.15">
      <c r="A17" s="12"/>
      <c r="B17" s="18"/>
      <c r="C17" s="12"/>
      <c r="D17" s="25"/>
      <c r="E17" s="26"/>
      <c r="F17" s="27"/>
      <c r="P17" s="6" t="s">
        <v>21</v>
      </c>
    </row>
    <row r="18" spans="1:16" ht="15" x14ac:dyDescent="0.15">
      <c r="A18" s="12"/>
      <c r="B18" s="19"/>
      <c r="C18" s="12"/>
      <c r="D18" s="25"/>
      <c r="E18" s="26"/>
      <c r="F18" s="27"/>
    </row>
    <row r="19" spans="1:16" ht="15" x14ac:dyDescent="0.15">
      <c r="A19" s="12"/>
      <c r="B19" s="18"/>
      <c r="C19" s="12"/>
      <c r="D19" s="25"/>
      <c r="E19" s="26"/>
      <c r="F19" s="27"/>
    </row>
    <row r="20" spans="1:16" ht="15" x14ac:dyDescent="0.15">
      <c r="A20" s="12"/>
      <c r="B20" s="19"/>
      <c r="C20" s="12"/>
      <c r="D20" s="25"/>
      <c r="E20" s="26"/>
      <c r="F20" s="27"/>
    </row>
    <row r="21" spans="1:16" ht="15" x14ac:dyDescent="0.15">
      <c r="A21" s="12"/>
      <c r="B21" s="19"/>
      <c r="C21" s="12"/>
      <c r="D21" s="25"/>
      <c r="E21" s="26"/>
      <c r="F21" s="27"/>
    </row>
    <row r="22" spans="1:16" ht="15" x14ac:dyDescent="0.15">
      <c r="A22" s="12"/>
      <c r="B22" s="19"/>
      <c r="C22" s="12"/>
      <c r="D22" s="25"/>
      <c r="E22" s="26"/>
      <c r="F22" s="27"/>
    </row>
    <row r="23" spans="1:16" ht="15" x14ac:dyDescent="0.15">
      <c r="A23" s="12"/>
      <c r="B23" s="12"/>
      <c r="C23" s="12"/>
      <c r="D23" s="25"/>
      <c r="E23" s="26"/>
      <c r="F23" s="27"/>
    </row>
    <row r="24" spans="1:16" ht="15" x14ac:dyDescent="0.15">
      <c r="A24" s="12"/>
      <c r="B24" s="12"/>
      <c r="C24" s="12"/>
      <c r="D24" s="25"/>
      <c r="E24" s="26"/>
      <c r="F24" s="27"/>
    </row>
    <row r="25" spans="1:16" ht="15" x14ac:dyDescent="0.15">
      <c r="A25" s="13"/>
      <c r="B25" s="13"/>
      <c r="C25" s="13"/>
      <c r="D25" s="25"/>
      <c r="E25" s="26"/>
      <c r="F25" s="27"/>
    </row>
    <row r="26" spans="1:16" ht="15" x14ac:dyDescent="0.15">
      <c r="A26" s="13"/>
      <c r="B26" s="13"/>
      <c r="C26" s="13"/>
      <c r="D26" s="25"/>
      <c r="E26" s="26"/>
      <c r="F26" s="27"/>
    </row>
    <row r="27" spans="1:16" ht="15" x14ac:dyDescent="0.15">
      <c r="A27" s="13"/>
      <c r="B27" s="13"/>
      <c r="C27" s="13"/>
      <c r="D27" s="25"/>
      <c r="E27" s="26"/>
      <c r="F27" s="27"/>
    </row>
    <row r="28" spans="1:16" ht="15" x14ac:dyDescent="0.15">
      <c r="A28" s="13"/>
      <c r="B28" s="13"/>
      <c r="C28" s="13"/>
      <c r="D28" s="25"/>
      <c r="E28" s="26"/>
      <c r="F28" s="27"/>
    </row>
    <row r="29" spans="1:16" ht="15" x14ac:dyDescent="0.15">
      <c r="A29" s="13"/>
      <c r="B29" s="13"/>
      <c r="C29" s="13"/>
      <c r="D29" s="25"/>
      <c r="E29" s="26"/>
      <c r="F29" s="27"/>
    </row>
    <row r="30" spans="1:16" x14ac:dyDescent="0.15">
      <c r="A30" s="7"/>
      <c r="B30" s="7"/>
      <c r="C30" s="8"/>
      <c r="D30" s="25"/>
      <c r="E30" s="26"/>
      <c r="F30" s="27"/>
    </row>
    <row r="31" spans="1:16" x14ac:dyDescent="0.15">
      <c r="A31" s="9"/>
      <c r="B31" s="9"/>
      <c r="C31" s="10"/>
      <c r="D31" s="28"/>
      <c r="E31" s="29"/>
      <c r="F31" s="30"/>
    </row>
    <row r="33" spans="10:10" x14ac:dyDescent="0.15">
      <c r="J33" s="6" t="s">
        <v>2</v>
      </c>
    </row>
  </sheetData>
  <mergeCells count="6">
    <mergeCell ref="A15:B15"/>
    <mergeCell ref="D14:F31"/>
    <mergeCell ref="B2:C2"/>
    <mergeCell ref="A6:F6"/>
    <mergeCell ref="A14:C14"/>
    <mergeCell ref="A4:E4"/>
  </mergeCells>
  <phoneticPr fontId="1" type="noConversion"/>
  <hyperlinks>
    <hyperlink ref="F4" r:id="rId1"/>
  </hyperlinks>
  <pageMargins left="0.7" right="0.7" top="0.75" bottom="0.75" header="0.3" footer="0.3"/>
  <pageSetup paperSize="9" orientation="portrait" horizontalDpi="1200" verticalDpi="1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F">
                <anchor moveWithCells="1" sizeWithCells="1">
                  <from>
                    <xdr:col>1</xdr:col>
                    <xdr:colOff>19050</xdr:colOff>
                    <xdr:row>7</xdr:row>
                    <xdr:rowOff>9525</xdr:rowOff>
                  </from>
                  <to>
                    <xdr:col>3</xdr:col>
                    <xdr:colOff>9525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vmodel">
                <anchor moveWithCells="1" sizeWithCells="1">
                  <from>
                    <xdr:col>0</xdr:col>
                    <xdr:colOff>276225</xdr:colOff>
                    <xdr:row>29</xdr:row>
                    <xdr:rowOff>28575</xdr:rowOff>
                  </from>
                  <to>
                    <xdr:col>2</xdr:col>
                    <xdr:colOff>180975</xdr:colOff>
                    <xdr:row>30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V30"/>
  <sheetViews>
    <sheetView workbookViewId="0">
      <selection activeCell="U20" sqref="U20"/>
    </sheetView>
  </sheetViews>
  <sheetFormatPr defaultRowHeight="13.5" x14ac:dyDescent="0.15"/>
  <cols>
    <col min="1" max="16384" width="9" style="1"/>
  </cols>
  <sheetData>
    <row r="1" spans="2:22" x14ac:dyDescent="0.15">
      <c r="B1" s="37" t="s">
        <v>19</v>
      </c>
      <c r="C1" s="37"/>
      <c r="D1" s="37"/>
      <c r="E1" s="37"/>
      <c r="F1" s="37"/>
      <c r="G1" s="37"/>
      <c r="H1" s="37"/>
      <c r="I1" s="37"/>
      <c r="J1" s="37"/>
      <c r="N1" s="37" t="s">
        <v>20</v>
      </c>
      <c r="O1" s="37"/>
      <c r="P1" s="37"/>
      <c r="Q1" s="37"/>
      <c r="R1" s="37"/>
      <c r="S1" s="37"/>
      <c r="T1" s="37"/>
      <c r="U1" s="37"/>
      <c r="V1" s="37"/>
    </row>
    <row r="2" spans="2:22" x14ac:dyDescent="0.15">
      <c r="B2" s="36" t="s">
        <v>3</v>
      </c>
      <c r="C2" s="36" t="s">
        <v>4</v>
      </c>
      <c r="D2" s="36"/>
      <c r="E2" s="36"/>
      <c r="F2" s="36" t="s">
        <v>5</v>
      </c>
      <c r="G2" s="36" t="s">
        <v>6</v>
      </c>
      <c r="H2" s="36"/>
      <c r="I2" s="36"/>
      <c r="J2" s="36" t="s">
        <v>5</v>
      </c>
      <c r="N2" s="36" t="s">
        <v>3</v>
      </c>
      <c r="O2" s="36" t="s">
        <v>4</v>
      </c>
      <c r="P2" s="36"/>
      <c r="Q2" s="36"/>
      <c r="R2" s="36" t="s">
        <v>5</v>
      </c>
      <c r="S2" s="36" t="s">
        <v>6</v>
      </c>
      <c r="T2" s="36"/>
      <c r="U2" s="36"/>
      <c r="V2" s="36" t="s">
        <v>5</v>
      </c>
    </row>
    <row r="3" spans="2:22" x14ac:dyDescent="0.15">
      <c r="B3" s="36"/>
      <c r="C3" s="4" t="s">
        <v>7</v>
      </c>
      <c r="D3" s="4" t="s">
        <v>8</v>
      </c>
      <c r="E3" s="4" t="s">
        <v>9</v>
      </c>
      <c r="F3" s="36"/>
      <c r="G3" s="4" t="s">
        <v>7</v>
      </c>
      <c r="H3" s="4" t="s">
        <v>8</v>
      </c>
      <c r="I3" s="4" t="s">
        <v>9</v>
      </c>
      <c r="J3" s="36"/>
      <c r="N3" s="36"/>
      <c r="O3" s="15" t="s">
        <v>7</v>
      </c>
      <c r="P3" s="15" t="s">
        <v>8</v>
      </c>
      <c r="Q3" s="15" t="s">
        <v>9</v>
      </c>
      <c r="R3" s="36"/>
      <c r="S3" s="15" t="s">
        <v>7</v>
      </c>
      <c r="T3" s="15" t="s">
        <v>8</v>
      </c>
      <c r="U3" s="15" t="s">
        <v>9</v>
      </c>
      <c r="V3" s="36"/>
    </row>
    <row r="4" spans="2:22" x14ac:dyDescent="0.15">
      <c r="B4" s="16">
        <v>200</v>
      </c>
      <c r="C4" s="16">
        <v>10</v>
      </c>
      <c r="D4" s="16">
        <v>150</v>
      </c>
      <c r="E4" s="16">
        <f t="shared" ref="E4:E25" si="0">IF(B4&lt;=600,2,IF(B4&lt;=900,3,4+ROUNDDOWN((B4-900)/300,0)))</f>
        <v>2</v>
      </c>
      <c r="F4" s="17">
        <f>C4^2*3.14/4*E4/$B4/D4</f>
        <v>5.2333333333333338E-3</v>
      </c>
      <c r="G4" s="2">
        <v>8</v>
      </c>
      <c r="H4" s="2">
        <v>200</v>
      </c>
      <c r="I4" s="2">
        <f>IF($B4&lt;=600,2,IF($B4&lt;=900,3,4+ROUNDDOWN(($B4-900)/300,0)))</f>
        <v>2</v>
      </c>
      <c r="J4" s="3">
        <f>G4^2*3.14/4*I4/$B4/H4</f>
        <v>2.5120000000000003E-3</v>
      </c>
      <c r="N4" s="16">
        <v>200</v>
      </c>
      <c r="O4" s="16">
        <v>10</v>
      </c>
      <c r="P4" s="16">
        <v>200</v>
      </c>
      <c r="Q4" s="16">
        <f t="shared" ref="Q4:Q25" si="1">IF(N4&lt;=600,2,IF(N4&lt;=900,3,4+ROUNDDOWN((N4-900)/300,0)))</f>
        <v>2</v>
      </c>
      <c r="R4" s="17">
        <f>O4^2*3.14/4*Q4/$B4/P4</f>
        <v>3.9250000000000005E-3</v>
      </c>
      <c r="S4" s="2">
        <v>8</v>
      </c>
      <c r="T4" s="2">
        <v>200</v>
      </c>
      <c r="U4" s="2">
        <f>IF($B4&lt;=600,2,IF($B4&lt;=900,3,4+ROUNDDOWN(($B4-900)/300,0)))</f>
        <v>2</v>
      </c>
      <c r="V4" s="3">
        <f>S4^2*3.14/4*U4/$B4/T4</f>
        <v>2.5120000000000003E-3</v>
      </c>
    </row>
    <row r="5" spans="2:22" x14ac:dyDescent="0.15">
      <c r="B5" s="16">
        <v>250</v>
      </c>
      <c r="C5" s="16">
        <v>11</v>
      </c>
      <c r="D5" s="16">
        <v>150</v>
      </c>
      <c r="E5" s="16">
        <f t="shared" si="0"/>
        <v>2</v>
      </c>
      <c r="F5" s="17">
        <f t="shared" ref="F5:F26" si="2">C5^2*3.14/4*E5/$B5/D5</f>
        <v>5.0658666666666668E-3</v>
      </c>
      <c r="G5" s="2">
        <v>8</v>
      </c>
      <c r="H5" s="2">
        <v>150</v>
      </c>
      <c r="I5" s="2">
        <f t="shared" ref="I5:I30" si="3">IF($B5&lt;=600,2,IF($B5&lt;=900,3,4+ROUNDDOWN(($B5-900)/300,0)))</f>
        <v>2</v>
      </c>
      <c r="J5" s="3">
        <f t="shared" ref="J5:J26" si="4">G5^2*3.14/4*I5/$B5/H5</f>
        <v>2.6794666666666665E-3</v>
      </c>
      <c r="N5" s="16">
        <v>250</v>
      </c>
      <c r="O5" s="16">
        <v>11</v>
      </c>
      <c r="P5" s="16">
        <v>200</v>
      </c>
      <c r="Q5" s="16">
        <f t="shared" si="1"/>
        <v>2</v>
      </c>
      <c r="R5" s="17">
        <f t="shared" ref="R5:R30" si="5">O5^2*3.14/4*Q5/$B5/P5</f>
        <v>3.7994000000000001E-3</v>
      </c>
      <c r="S5" s="2">
        <v>8</v>
      </c>
      <c r="T5" s="2">
        <v>150</v>
      </c>
      <c r="U5" s="2">
        <f t="shared" ref="U5:U30" si="6">IF($B5&lt;=600,2,IF($B5&lt;=900,3,4+ROUNDDOWN(($B5-900)/300,0)))</f>
        <v>2</v>
      </c>
      <c r="V5" s="3">
        <f t="shared" ref="V5:V30" si="7">S5^2*3.14/4*U5/$B5/T5</f>
        <v>2.6794666666666665E-3</v>
      </c>
    </row>
    <row r="6" spans="2:22" x14ac:dyDescent="0.15">
      <c r="B6" s="16">
        <v>300</v>
      </c>
      <c r="C6" s="16">
        <v>12</v>
      </c>
      <c r="D6" s="16">
        <v>150</v>
      </c>
      <c r="E6" s="16">
        <f t="shared" si="0"/>
        <v>2</v>
      </c>
      <c r="F6" s="17">
        <f t="shared" si="2"/>
        <v>5.0240000000000007E-3</v>
      </c>
      <c r="G6" s="2">
        <v>10</v>
      </c>
      <c r="H6" s="2">
        <v>200</v>
      </c>
      <c r="I6" s="2">
        <f t="shared" si="3"/>
        <v>2</v>
      </c>
      <c r="J6" s="3">
        <f t="shared" si="4"/>
        <v>2.6166666666666664E-3</v>
      </c>
      <c r="N6" s="16">
        <v>300</v>
      </c>
      <c r="O6" s="16">
        <v>12</v>
      </c>
      <c r="P6" s="16">
        <v>200</v>
      </c>
      <c r="Q6" s="16">
        <f t="shared" si="1"/>
        <v>2</v>
      </c>
      <c r="R6" s="17">
        <f t="shared" si="5"/>
        <v>3.7680000000000001E-3</v>
      </c>
      <c r="S6" s="2">
        <v>10</v>
      </c>
      <c r="T6" s="2">
        <v>200</v>
      </c>
      <c r="U6" s="2">
        <f t="shared" si="6"/>
        <v>2</v>
      </c>
      <c r="V6" s="3">
        <f t="shared" si="7"/>
        <v>2.6166666666666664E-3</v>
      </c>
    </row>
    <row r="7" spans="2:22" x14ac:dyDescent="0.15">
      <c r="B7" s="16">
        <v>350</v>
      </c>
      <c r="C7" s="16">
        <v>13</v>
      </c>
      <c r="D7" s="16">
        <v>150</v>
      </c>
      <c r="E7" s="16">
        <f t="shared" si="0"/>
        <v>2</v>
      </c>
      <c r="F7" s="17">
        <f t="shared" si="2"/>
        <v>5.0539047619047621E-3</v>
      </c>
      <c r="G7" s="2">
        <v>10</v>
      </c>
      <c r="H7" s="2">
        <v>150</v>
      </c>
      <c r="I7" s="2">
        <f t="shared" si="3"/>
        <v>2</v>
      </c>
      <c r="J7" s="3">
        <f t="shared" si="4"/>
        <v>2.9904761904761905E-3</v>
      </c>
      <c r="N7" s="16">
        <v>350</v>
      </c>
      <c r="O7" s="16">
        <v>13</v>
      </c>
      <c r="P7" s="16">
        <v>200</v>
      </c>
      <c r="Q7" s="16">
        <f t="shared" si="1"/>
        <v>2</v>
      </c>
      <c r="R7" s="17">
        <f t="shared" si="5"/>
        <v>3.7904285714285713E-3</v>
      </c>
      <c r="S7" s="2">
        <v>10</v>
      </c>
      <c r="T7" s="2">
        <v>150</v>
      </c>
      <c r="U7" s="2">
        <f t="shared" si="6"/>
        <v>2</v>
      </c>
      <c r="V7" s="3">
        <f t="shared" si="7"/>
        <v>2.9904761904761905E-3</v>
      </c>
    </row>
    <row r="8" spans="2:22" x14ac:dyDescent="0.15">
      <c r="B8" s="16">
        <v>400</v>
      </c>
      <c r="C8" s="16">
        <v>14</v>
      </c>
      <c r="D8" s="16">
        <v>150</v>
      </c>
      <c r="E8" s="16">
        <f t="shared" si="0"/>
        <v>2</v>
      </c>
      <c r="F8" s="17">
        <f t="shared" si="2"/>
        <v>5.1286666666666677E-3</v>
      </c>
      <c r="G8" s="2">
        <v>10</v>
      </c>
      <c r="H8" s="2">
        <v>150</v>
      </c>
      <c r="I8" s="2">
        <f t="shared" si="3"/>
        <v>2</v>
      </c>
      <c r="J8" s="3">
        <f t="shared" si="4"/>
        <v>2.6166666666666669E-3</v>
      </c>
      <c r="N8" s="16">
        <v>400</v>
      </c>
      <c r="O8" s="16">
        <v>14</v>
      </c>
      <c r="P8" s="16">
        <v>200</v>
      </c>
      <c r="Q8" s="16">
        <f t="shared" si="1"/>
        <v>2</v>
      </c>
      <c r="R8" s="17">
        <f t="shared" si="5"/>
        <v>3.8465000000000005E-3</v>
      </c>
      <c r="S8" s="2">
        <v>10</v>
      </c>
      <c r="T8" s="2">
        <v>150</v>
      </c>
      <c r="U8" s="2">
        <f t="shared" si="6"/>
        <v>2</v>
      </c>
      <c r="V8" s="3">
        <f t="shared" si="7"/>
        <v>2.6166666666666669E-3</v>
      </c>
    </row>
    <row r="9" spans="2:22" x14ac:dyDescent="0.15">
      <c r="B9" s="16">
        <v>450</v>
      </c>
      <c r="C9" s="16">
        <v>12.67</v>
      </c>
      <c r="D9" s="16">
        <v>150</v>
      </c>
      <c r="E9" s="16">
        <v>3</v>
      </c>
      <c r="F9" s="17">
        <f t="shared" si="2"/>
        <v>5.6006749555555548E-3</v>
      </c>
      <c r="G9" s="2">
        <v>12</v>
      </c>
      <c r="H9" s="2">
        <v>200</v>
      </c>
      <c r="I9" s="2">
        <f t="shared" si="3"/>
        <v>2</v>
      </c>
      <c r="J9" s="3">
        <f t="shared" si="4"/>
        <v>2.5120000000000003E-3</v>
      </c>
      <c r="N9" s="16">
        <v>450</v>
      </c>
      <c r="O9" s="16">
        <v>12.67</v>
      </c>
      <c r="P9" s="16">
        <v>200</v>
      </c>
      <c r="Q9" s="16">
        <v>3</v>
      </c>
      <c r="R9" s="17">
        <f t="shared" si="5"/>
        <v>4.2005062166666661E-3</v>
      </c>
      <c r="S9" s="2">
        <v>12</v>
      </c>
      <c r="T9" s="2">
        <v>200</v>
      </c>
      <c r="U9" s="2">
        <f t="shared" si="6"/>
        <v>2</v>
      </c>
      <c r="V9" s="3">
        <f t="shared" si="7"/>
        <v>2.5120000000000003E-3</v>
      </c>
    </row>
    <row r="10" spans="2:22" x14ac:dyDescent="0.15">
      <c r="B10" s="16">
        <v>500</v>
      </c>
      <c r="C10" s="16">
        <v>13.33</v>
      </c>
      <c r="D10" s="16">
        <v>150</v>
      </c>
      <c r="E10" s="16">
        <v>3</v>
      </c>
      <c r="F10" s="17">
        <f t="shared" si="2"/>
        <v>5.5794314599999992E-3</v>
      </c>
      <c r="G10" s="2">
        <v>12</v>
      </c>
      <c r="H10" s="2">
        <v>150</v>
      </c>
      <c r="I10" s="2">
        <f t="shared" si="3"/>
        <v>2</v>
      </c>
      <c r="J10" s="3">
        <f t="shared" si="4"/>
        <v>3.0144E-3</v>
      </c>
      <c r="N10" s="16">
        <v>500</v>
      </c>
      <c r="O10" s="16">
        <v>13.33</v>
      </c>
      <c r="P10" s="16">
        <v>200</v>
      </c>
      <c r="Q10" s="16">
        <v>3</v>
      </c>
      <c r="R10" s="17">
        <f t="shared" si="5"/>
        <v>4.1845735949999994E-3</v>
      </c>
      <c r="S10" s="2">
        <v>12</v>
      </c>
      <c r="T10" s="2">
        <v>150</v>
      </c>
      <c r="U10" s="2">
        <f t="shared" si="6"/>
        <v>2</v>
      </c>
      <c r="V10" s="3">
        <f t="shared" si="7"/>
        <v>3.0144E-3</v>
      </c>
    </row>
    <row r="11" spans="2:22" x14ac:dyDescent="0.15">
      <c r="B11" s="16">
        <v>550</v>
      </c>
      <c r="C11" s="16">
        <v>14</v>
      </c>
      <c r="D11" s="16">
        <v>150</v>
      </c>
      <c r="E11" s="16">
        <v>3</v>
      </c>
      <c r="F11" s="17">
        <f t="shared" si="2"/>
        <v>5.5949090909090914E-3</v>
      </c>
      <c r="G11" s="2">
        <v>14</v>
      </c>
      <c r="H11" s="2">
        <v>200</v>
      </c>
      <c r="I11" s="2">
        <f t="shared" si="3"/>
        <v>2</v>
      </c>
      <c r="J11" s="3">
        <f t="shared" si="4"/>
        <v>2.7974545454545457E-3</v>
      </c>
      <c r="N11" s="16">
        <v>550</v>
      </c>
      <c r="O11" s="16">
        <v>14</v>
      </c>
      <c r="P11" s="16">
        <v>200</v>
      </c>
      <c r="Q11" s="16">
        <v>3</v>
      </c>
      <c r="R11" s="17">
        <f t="shared" si="5"/>
        <v>4.1961818181818185E-3</v>
      </c>
      <c r="S11" s="2">
        <v>14</v>
      </c>
      <c r="T11" s="2">
        <v>200</v>
      </c>
      <c r="U11" s="2">
        <f t="shared" si="6"/>
        <v>2</v>
      </c>
      <c r="V11" s="3">
        <f t="shared" si="7"/>
        <v>2.7974545454545457E-3</v>
      </c>
    </row>
    <row r="12" spans="2:22" x14ac:dyDescent="0.15">
      <c r="B12" s="16">
        <v>600</v>
      </c>
      <c r="C12" s="16">
        <v>14</v>
      </c>
      <c r="D12" s="16">
        <v>150</v>
      </c>
      <c r="E12" s="16">
        <v>3</v>
      </c>
      <c r="F12" s="17">
        <f t="shared" si="2"/>
        <v>5.1286666666666677E-3</v>
      </c>
      <c r="G12" s="2">
        <v>14</v>
      </c>
      <c r="H12" s="2">
        <v>200</v>
      </c>
      <c r="I12" s="2">
        <f t="shared" si="3"/>
        <v>2</v>
      </c>
      <c r="J12" s="3">
        <f t="shared" si="4"/>
        <v>2.5643333333333334E-3</v>
      </c>
      <c r="N12" s="16">
        <v>600</v>
      </c>
      <c r="O12" s="16">
        <v>14</v>
      </c>
      <c r="P12" s="16">
        <v>200</v>
      </c>
      <c r="Q12" s="16">
        <v>3</v>
      </c>
      <c r="R12" s="17">
        <f t="shared" si="5"/>
        <v>3.8465000000000005E-3</v>
      </c>
      <c r="S12" s="2">
        <v>14</v>
      </c>
      <c r="T12" s="2">
        <v>200</v>
      </c>
      <c r="U12" s="2">
        <f t="shared" si="6"/>
        <v>2</v>
      </c>
      <c r="V12" s="3">
        <f t="shared" si="7"/>
        <v>2.5643333333333334E-3</v>
      </c>
    </row>
    <row r="13" spans="2:22" x14ac:dyDescent="0.15">
      <c r="B13" s="2">
        <v>650</v>
      </c>
      <c r="C13" s="2">
        <v>12</v>
      </c>
      <c r="D13" s="2">
        <v>200</v>
      </c>
      <c r="E13" s="2">
        <f t="shared" si="0"/>
        <v>3</v>
      </c>
      <c r="F13" s="3">
        <f t="shared" si="2"/>
        <v>2.6086153846153846E-3</v>
      </c>
      <c r="G13" s="2">
        <v>12</v>
      </c>
      <c r="H13" s="2">
        <v>200</v>
      </c>
      <c r="I13" s="2">
        <f t="shared" si="3"/>
        <v>3</v>
      </c>
      <c r="J13" s="3">
        <f t="shared" si="4"/>
        <v>2.6086153846153846E-3</v>
      </c>
      <c r="N13" s="2">
        <v>650</v>
      </c>
      <c r="O13" s="2">
        <v>12</v>
      </c>
      <c r="P13" s="2">
        <v>200</v>
      </c>
      <c r="Q13" s="2">
        <f t="shared" si="1"/>
        <v>3</v>
      </c>
      <c r="R13" s="3">
        <f t="shared" si="5"/>
        <v>2.6086153846153846E-3</v>
      </c>
      <c r="S13" s="2">
        <v>12</v>
      </c>
      <c r="T13" s="2">
        <v>200</v>
      </c>
      <c r="U13" s="2">
        <f t="shared" si="6"/>
        <v>3</v>
      </c>
      <c r="V13" s="3">
        <f t="shared" si="7"/>
        <v>2.6086153846153846E-3</v>
      </c>
    </row>
    <row r="14" spans="2:22" x14ac:dyDescent="0.15">
      <c r="B14" s="2">
        <v>700</v>
      </c>
      <c r="C14" s="2">
        <v>12</v>
      </c>
      <c r="D14" s="2">
        <v>180</v>
      </c>
      <c r="E14" s="2">
        <f t="shared" si="0"/>
        <v>3</v>
      </c>
      <c r="F14" s="3">
        <f t="shared" si="2"/>
        <v>2.6914285714285716E-3</v>
      </c>
      <c r="G14" s="2">
        <v>12</v>
      </c>
      <c r="H14" s="2">
        <v>180</v>
      </c>
      <c r="I14" s="2">
        <f t="shared" si="3"/>
        <v>3</v>
      </c>
      <c r="J14" s="3">
        <f t="shared" si="4"/>
        <v>2.6914285714285716E-3</v>
      </c>
      <c r="N14" s="2">
        <v>700</v>
      </c>
      <c r="O14" s="2">
        <v>12</v>
      </c>
      <c r="P14" s="2">
        <v>180</v>
      </c>
      <c r="Q14" s="2">
        <f t="shared" si="1"/>
        <v>3</v>
      </c>
      <c r="R14" s="3">
        <f t="shared" si="5"/>
        <v>2.6914285714285716E-3</v>
      </c>
      <c r="S14" s="2">
        <v>12</v>
      </c>
      <c r="T14" s="2">
        <v>180</v>
      </c>
      <c r="U14" s="2">
        <f t="shared" si="6"/>
        <v>3</v>
      </c>
      <c r="V14" s="3">
        <f t="shared" si="7"/>
        <v>2.6914285714285716E-3</v>
      </c>
    </row>
    <row r="15" spans="2:22" x14ac:dyDescent="0.15">
      <c r="B15" s="2">
        <v>750</v>
      </c>
      <c r="C15" s="2">
        <v>12</v>
      </c>
      <c r="D15" s="2">
        <v>150</v>
      </c>
      <c r="E15" s="2">
        <f t="shared" si="0"/>
        <v>3</v>
      </c>
      <c r="F15" s="3">
        <f t="shared" si="2"/>
        <v>3.0144E-3</v>
      </c>
      <c r="G15" s="2">
        <v>12</v>
      </c>
      <c r="H15" s="2">
        <v>150</v>
      </c>
      <c r="I15" s="2">
        <f t="shared" si="3"/>
        <v>3</v>
      </c>
      <c r="J15" s="3">
        <f t="shared" si="4"/>
        <v>3.0144E-3</v>
      </c>
      <c r="N15" s="2">
        <v>750</v>
      </c>
      <c r="O15" s="2">
        <v>12</v>
      </c>
      <c r="P15" s="2">
        <v>150</v>
      </c>
      <c r="Q15" s="2">
        <f t="shared" si="1"/>
        <v>3</v>
      </c>
      <c r="R15" s="3">
        <f t="shared" si="5"/>
        <v>3.0144E-3</v>
      </c>
      <c r="S15" s="2">
        <v>12</v>
      </c>
      <c r="T15" s="2">
        <v>150</v>
      </c>
      <c r="U15" s="2">
        <f t="shared" si="6"/>
        <v>3</v>
      </c>
      <c r="V15" s="3">
        <f t="shared" si="7"/>
        <v>3.0144E-3</v>
      </c>
    </row>
    <row r="16" spans="2:22" x14ac:dyDescent="0.15">
      <c r="B16" s="2">
        <v>800</v>
      </c>
      <c r="C16" s="2">
        <v>12</v>
      </c>
      <c r="D16" s="2">
        <v>150</v>
      </c>
      <c r="E16" s="2">
        <f t="shared" si="0"/>
        <v>3</v>
      </c>
      <c r="F16" s="3">
        <f t="shared" si="2"/>
        <v>2.826E-3</v>
      </c>
      <c r="G16" s="2">
        <v>12</v>
      </c>
      <c r="H16" s="2">
        <v>150</v>
      </c>
      <c r="I16" s="2">
        <f t="shared" si="3"/>
        <v>3</v>
      </c>
      <c r="J16" s="3">
        <f t="shared" si="4"/>
        <v>2.826E-3</v>
      </c>
      <c r="N16" s="2">
        <v>800</v>
      </c>
      <c r="O16" s="2">
        <v>12</v>
      </c>
      <c r="P16" s="2">
        <v>150</v>
      </c>
      <c r="Q16" s="2">
        <f t="shared" si="1"/>
        <v>3</v>
      </c>
      <c r="R16" s="3">
        <f t="shared" si="5"/>
        <v>2.826E-3</v>
      </c>
      <c r="S16" s="2">
        <v>12</v>
      </c>
      <c r="T16" s="2">
        <v>150</v>
      </c>
      <c r="U16" s="2">
        <f t="shared" si="6"/>
        <v>3</v>
      </c>
      <c r="V16" s="3">
        <f t="shared" si="7"/>
        <v>2.826E-3</v>
      </c>
    </row>
    <row r="17" spans="2:22" x14ac:dyDescent="0.15">
      <c r="B17" s="2">
        <v>850</v>
      </c>
      <c r="C17" s="2">
        <v>12</v>
      </c>
      <c r="D17" s="2">
        <v>150</v>
      </c>
      <c r="E17" s="2">
        <f t="shared" si="0"/>
        <v>3</v>
      </c>
      <c r="F17" s="3">
        <f t="shared" si="2"/>
        <v>2.6597647058823528E-3</v>
      </c>
      <c r="G17" s="2">
        <v>12</v>
      </c>
      <c r="H17" s="2">
        <v>150</v>
      </c>
      <c r="I17" s="2">
        <f t="shared" si="3"/>
        <v>3</v>
      </c>
      <c r="J17" s="3">
        <f t="shared" si="4"/>
        <v>2.6597647058823528E-3</v>
      </c>
      <c r="N17" s="2">
        <v>850</v>
      </c>
      <c r="O17" s="2">
        <v>12</v>
      </c>
      <c r="P17" s="2">
        <v>150</v>
      </c>
      <c r="Q17" s="2">
        <f t="shared" si="1"/>
        <v>3</v>
      </c>
      <c r="R17" s="3">
        <f t="shared" si="5"/>
        <v>2.6597647058823528E-3</v>
      </c>
      <c r="S17" s="2">
        <v>12</v>
      </c>
      <c r="T17" s="2">
        <v>150</v>
      </c>
      <c r="U17" s="2">
        <f t="shared" si="6"/>
        <v>3</v>
      </c>
      <c r="V17" s="3">
        <f t="shared" si="7"/>
        <v>2.6597647058823528E-3</v>
      </c>
    </row>
    <row r="18" spans="2:22" x14ac:dyDescent="0.15">
      <c r="B18" s="2">
        <v>900</v>
      </c>
      <c r="C18" s="2">
        <v>14</v>
      </c>
      <c r="D18" s="2">
        <v>200</v>
      </c>
      <c r="E18" s="2">
        <f t="shared" si="0"/>
        <v>3</v>
      </c>
      <c r="F18" s="3">
        <f t="shared" si="2"/>
        <v>2.5643333333333334E-3</v>
      </c>
      <c r="G18" s="2">
        <v>14</v>
      </c>
      <c r="H18" s="2">
        <v>200</v>
      </c>
      <c r="I18" s="2">
        <f t="shared" si="3"/>
        <v>3</v>
      </c>
      <c r="J18" s="3">
        <f t="shared" si="4"/>
        <v>2.5643333333333334E-3</v>
      </c>
      <c r="N18" s="2">
        <v>900</v>
      </c>
      <c r="O18" s="2">
        <v>14</v>
      </c>
      <c r="P18" s="2">
        <v>200</v>
      </c>
      <c r="Q18" s="2">
        <f t="shared" si="1"/>
        <v>3</v>
      </c>
      <c r="R18" s="3">
        <f t="shared" si="5"/>
        <v>2.5643333333333334E-3</v>
      </c>
      <c r="S18" s="2">
        <v>14</v>
      </c>
      <c r="T18" s="2">
        <v>200</v>
      </c>
      <c r="U18" s="2">
        <f t="shared" si="6"/>
        <v>3</v>
      </c>
      <c r="V18" s="3">
        <f t="shared" si="7"/>
        <v>2.5643333333333334E-3</v>
      </c>
    </row>
    <row r="19" spans="2:22" x14ac:dyDescent="0.15">
      <c r="B19" s="2">
        <v>950</v>
      </c>
      <c r="C19" s="2">
        <v>12</v>
      </c>
      <c r="D19" s="2">
        <v>180</v>
      </c>
      <c r="E19" s="2">
        <f t="shared" si="0"/>
        <v>4</v>
      </c>
      <c r="F19" s="3">
        <f t="shared" si="2"/>
        <v>2.6442105263157897E-3</v>
      </c>
      <c r="G19" s="2">
        <v>12</v>
      </c>
      <c r="H19" s="2">
        <v>180</v>
      </c>
      <c r="I19" s="2">
        <f t="shared" si="3"/>
        <v>4</v>
      </c>
      <c r="J19" s="3">
        <f t="shared" si="4"/>
        <v>2.6442105263157897E-3</v>
      </c>
      <c r="N19" s="2">
        <v>950</v>
      </c>
      <c r="O19" s="2">
        <v>12</v>
      </c>
      <c r="P19" s="2">
        <v>180</v>
      </c>
      <c r="Q19" s="2">
        <f t="shared" si="1"/>
        <v>4</v>
      </c>
      <c r="R19" s="3">
        <f t="shared" si="5"/>
        <v>2.6442105263157897E-3</v>
      </c>
      <c r="S19" s="2">
        <v>12</v>
      </c>
      <c r="T19" s="2">
        <v>180</v>
      </c>
      <c r="U19" s="2">
        <f t="shared" si="6"/>
        <v>4</v>
      </c>
      <c r="V19" s="3">
        <f t="shared" si="7"/>
        <v>2.6442105263157897E-3</v>
      </c>
    </row>
    <row r="20" spans="2:22" x14ac:dyDescent="0.15">
      <c r="B20" s="2">
        <v>1000</v>
      </c>
      <c r="C20" s="2">
        <v>12</v>
      </c>
      <c r="D20" s="2">
        <v>150</v>
      </c>
      <c r="E20" s="2">
        <f t="shared" si="0"/>
        <v>4</v>
      </c>
      <c r="F20" s="3">
        <f t="shared" si="2"/>
        <v>3.0144E-3</v>
      </c>
      <c r="G20" s="2">
        <v>12</v>
      </c>
      <c r="H20" s="2">
        <v>150</v>
      </c>
      <c r="I20" s="2">
        <f t="shared" si="3"/>
        <v>4</v>
      </c>
      <c r="J20" s="3">
        <f t="shared" si="4"/>
        <v>3.0144E-3</v>
      </c>
      <c r="N20" s="2">
        <v>1000</v>
      </c>
      <c r="O20" s="2">
        <v>12</v>
      </c>
      <c r="P20" s="2">
        <v>150</v>
      </c>
      <c r="Q20" s="2">
        <f t="shared" si="1"/>
        <v>4</v>
      </c>
      <c r="R20" s="3">
        <f t="shared" si="5"/>
        <v>3.0144E-3</v>
      </c>
      <c r="S20" s="2">
        <v>12</v>
      </c>
      <c r="T20" s="2">
        <v>150</v>
      </c>
      <c r="U20" s="2">
        <f t="shared" si="6"/>
        <v>4</v>
      </c>
      <c r="V20" s="3">
        <f t="shared" si="7"/>
        <v>3.0144E-3</v>
      </c>
    </row>
    <row r="21" spans="2:22" x14ac:dyDescent="0.15">
      <c r="B21" s="2">
        <v>1050</v>
      </c>
      <c r="C21" s="2">
        <v>14</v>
      </c>
      <c r="D21" s="2">
        <v>200</v>
      </c>
      <c r="E21" s="2">
        <f t="shared" si="0"/>
        <v>4</v>
      </c>
      <c r="F21" s="3">
        <f t="shared" si="2"/>
        <v>2.9306666666666669E-3</v>
      </c>
      <c r="G21" s="2">
        <v>14</v>
      </c>
      <c r="H21" s="2">
        <v>200</v>
      </c>
      <c r="I21" s="2">
        <f t="shared" si="3"/>
        <v>4</v>
      </c>
      <c r="J21" s="3">
        <f t="shared" si="4"/>
        <v>2.9306666666666669E-3</v>
      </c>
      <c r="N21" s="2">
        <v>1050</v>
      </c>
      <c r="O21" s="2">
        <v>14</v>
      </c>
      <c r="P21" s="2">
        <v>200</v>
      </c>
      <c r="Q21" s="2">
        <f t="shared" si="1"/>
        <v>4</v>
      </c>
      <c r="R21" s="3">
        <f t="shared" si="5"/>
        <v>2.9306666666666669E-3</v>
      </c>
      <c r="S21" s="2">
        <v>14</v>
      </c>
      <c r="T21" s="2">
        <v>200</v>
      </c>
      <c r="U21" s="2">
        <f t="shared" si="6"/>
        <v>4</v>
      </c>
      <c r="V21" s="3">
        <f t="shared" si="7"/>
        <v>2.9306666666666669E-3</v>
      </c>
    </row>
    <row r="22" spans="2:22" x14ac:dyDescent="0.15">
      <c r="B22" s="2">
        <v>1100</v>
      </c>
      <c r="C22" s="2">
        <v>14</v>
      </c>
      <c r="D22" s="2">
        <v>200</v>
      </c>
      <c r="E22" s="2">
        <f t="shared" si="0"/>
        <v>4</v>
      </c>
      <c r="F22" s="3">
        <f t="shared" si="2"/>
        <v>2.7974545454545457E-3</v>
      </c>
      <c r="G22" s="2">
        <v>14</v>
      </c>
      <c r="H22" s="2">
        <v>200</v>
      </c>
      <c r="I22" s="2">
        <f t="shared" si="3"/>
        <v>4</v>
      </c>
      <c r="J22" s="3">
        <f t="shared" si="4"/>
        <v>2.7974545454545457E-3</v>
      </c>
      <c r="N22" s="2">
        <v>1100</v>
      </c>
      <c r="O22" s="2">
        <v>14</v>
      </c>
      <c r="P22" s="2">
        <v>200</v>
      </c>
      <c r="Q22" s="2">
        <f t="shared" si="1"/>
        <v>4</v>
      </c>
      <c r="R22" s="3">
        <f t="shared" si="5"/>
        <v>2.7974545454545457E-3</v>
      </c>
      <c r="S22" s="2">
        <v>14</v>
      </c>
      <c r="T22" s="2">
        <v>200</v>
      </c>
      <c r="U22" s="2">
        <f t="shared" si="6"/>
        <v>4</v>
      </c>
      <c r="V22" s="3">
        <f t="shared" si="7"/>
        <v>2.7974545454545457E-3</v>
      </c>
    </row>
    <row r="23" spans="2:22" x14ac:dyDescent="0.15">
      <c r="B23" s="2">
        <v>1150</v>
      </c>
      <c r="C23" s="2">
        <v>14</v>
      </c>
      <c r="D23" s="2">
        <v>200</v>
      </c>
      <c r="E23" s="2">
        <f t="shared" si="0"/>
        <v>4</v>
      </c>
      <c r="F23" s="3">
        <f t="shared" si="2"/>
        <v>2.6758260869565219E-3</v>
      </c>
      <c r="G23" s="2">
        <v>14</v>
      </c>
      <c r="H23" s="2">
        <v>200</v>
      </c>
      <c r="I23" s="2">
        <f t="shared" si="3"/>
        <v>4</v>
      </c>
      <c r="J23" s="3">
        <f t="shared" si="4"/>
        <v>2.6758260869565219E-3</v>
      </c>
      <c r="N23" s="2">
        <v>1150</v>
      </c>
      <c r="O23" s="2">
        <v>14</v>
      </c>
      <c r="P23" s="2">
        <v>200</v>
      </c>
      <c r="Q23" s="2">
        <f t="shared" si="1"/>
        <v>4</v>
      </c>
      <c r="R23" s="3">
        <f t="shared" si="5"/>
        <v>2.6758260869565219E-3</v>
      </c>
      <c r="S23" s="2">
        <v>14</v>
      </c>
      <c r="T23" s="2">
        <v>200</v>
      </c>
      <c r="U23" s="2">
        <f t="shared" si="6"/>
        <v>4</v>
      </c>
      <c r="V23" s="3">
        <f t="shared" si="7"/>
        <v>2.6758260869565219E-3</v>
      </c>
    </row>
    <row r="24" spans="2:22" x14ac:dyDescent="0.15">
      <c r="B24" s="2">
        <v>1200</v>
      </c>
      <c r="C24" s="2">
        <v>12</v>
      </c>
      <c r="D24" s="2">
        <v>180</v>
      </c>
      <c r="E24" s="2">
        <f t="shared" si="0"/>
        <v>5</v>
      </c>
      <c r="F24" s="3">
        <f t="shared" si="2"/>
        <v>2.6166666666666669E-3</v>
      </c>
      <c r="G24" s="2">
        <v>12</v>
      </c>
      <c r="H24" s="2">
        <v>180</v>
      </c>
      <c r="I24" s="2">
        <f t="shared" si="3"/>
        <v>5</v>
      </c>
      <c r="J24" s="3">
        <f t="shared" si="4"/>
        <v>2.6166666666666669E-3</v>
      </c>
      <c r="N24" s="2">
        <v>1200</v>
      </c>
      <c r="O24" s="2">
        <v>12</v>
      </c>
      <c r="P24" s="2">
        <v>180</v>
      </c>
      <c r="Q24" s="2">
        <f t="shared" si="1"/>
        <v>5</v>
      </c>
      <c r="R24" s="3">
        <f t="shared" si="5"/>
        <v>2.6166666666666669E-3</v>
      </c>
      <c r="S24" s="2">
        <v>12</v>
      </c>
      <c r="T24" s="2">
        <v>180</v>
      </c>
      <c r="U24" s="2">
        <f t="shared" si="6"/>
        <v>5</v>
      </c>
      <c r="V24" s="3">
        <f t="shared" si="7"/>
        <v>2.6166666666666669E-3</v>
      </c>
    </row>
    <row r="25" spans="2:22" x14ac:dyDescent="0.15">
      <c r="B25" s="2">
        <v>1250</v>
      </c>
      <c r="C25" s="2">
        <v>12</v>
      </c>
      <c r="D25" s="2">
        <v>150</v>
      </c>
      <c r="E25" s="2">
        <f t="shared" si="0"/>
        <v>5</v>
      </c>
      <c r="F25" s="3">
        <f t="shared" si="2"/>
        <v>3.0144000000000004E-3</v>
      </c>
      <c r="G25" s="2">
        <v>12</v>
      </c>
      <c r="H25" s="2">
        <v>150</v>
      </c>
      <c r="I25" s="2">
        <f t="shared" si="3"/>
        <v>5</v>
      </c>
      <c r="J25" s="3">
        <f t="shared" si="4"/>
        <v>3.0144000000000004E-3</v>
      </c>
      <c r="N25" s="2">
        <v>1250</v>
      </c>
      <c r="O25" s="2">
        <v>12</v>
      </c>
      <c r="P25" s="2">
        <v>150</v>
      </c>
      <c r="Q25" s="2">
        <f t="shared" si="1"/>
        <v>5</v>
      </c>
      <c r="R25" s="3">
        <f t="shared" si="5"/>
        <v>3.0144000000000004E-3</v>
      </c>
      <c r="S25" s="2">
        <v>12</v>
      </c>
      <c r="T25" s="2">
        <v>150</v>
      </c>
      <c r="U25" s="2">
        <f t="shared" si="6"/>
        <v>5</v>
      </c>
      <c r="V25" s="3">
        <f t="shared" si="7"/>
        <v>3.0144000000000004E-3</v>
      </c>
    </row>
    <row r="26" spans="2:22" x14ac:dyDescent="0.15">
      <c r="B26" s="2">
        <v>1300</v>
      </c>
      <c r="C26" s="2">
        <v>12</v>
      </c>
      <c r="D26" s="2">
        <v>150</v>
      </c>
      <c r="E26" s="2">
        <f>IF(B26&lt;=600,2,IF(B26&lt;=900,3,4+ROUNDDOWN((B26-900)/300,0)))</f>
        <v>5</v>
      </c>
      <c r="F26" s="3">
        <f t="shared" si="2"/>
        <v>2.8984615384615386E-3</v>
      </c>
      <c r="G26" s="2">
        <v>12</v>
      </c>
      <c r="H26" s="2">
        <v>150</v>
      </c>
      <c r="I26" s="2">
        <f t="shared" si="3"/>
        <v>5</v>
      </c>
      <c r="J26" s="3">
        <f t="shared" si="4"/>
        <v>2.8984615384615386E-3</v>
      </c>
      <c r="N26" s="2">
        <v>1300</v>
      </c>
      <c r="O26" s="2">
        <v>12</v>
      </c>
      <c r="P26" s="2">
        <v>150</v>
      </c>
      <c r="Q26" s="2">
        <f>IF(N26&lt;=600,2,IF(N26&lt;=900,3,4+ROUNDDOWN((N26-900)/300,0)))</f>
        <v>5</v>
      </c>
      <c r="R26" s="3">
        <f t="shared" si="5"/>
        <v>2.8984615384615386E-3</v>
      </c>
      <c r="S26" s="2">
        <v>12</v>
      </c>
      <c r="T26" s="2">
        <v>150</v>
      </c>
      <c r="U26" s="2">
        <f t="shared" si="6"/>
        <v>5</v>
      </c>
      <c r="V26" s="3">
        <f t="shared" si="7"/>
        <v>2.8984615384615386E-3</v>
      </c>
    </row>
    <row r="27" spans="2:22" x14ac:dyDescent="0.15">
      <c r="B27" s="2">
        <v>1350</v>
      </c>
      <c r="C27" s="2">
        <v>12</v>
      </c>
      <c r="D27" s="2">
        <v>150</v>
      </c>
      <c r="E27" s="2">
        <f>IF(B27&lt;=600,2,IF(B27&lt;=900,3,4+ROUNDDOWN((B27-900)/300,0)))</f>
        <v>5</v>
      </c>
      <c r="F27" s="3">
        <f>C27^2*3.14/4*E27/$B27/D27</f>
        <v>2.7911111111111114E-3</v>
      </c>
      <c r="G27" s="2">
        <v>12</v>
      </c>
      <c r="H27" s="2">
        <v>150</v>
      </c>
      <c r="I27" s="2">
        <f t="shared" si="3"/>
        <v>5</v>
      </c>
      <c r="J27" s="3">
        <f>G27^2*3.14/4*I27/$B27/H27</f>
        <v>2.7911111111111114E-3</v>
      </c>
      <c r="N27" s="2">
        <v>1350</v>
      </c>
      <c r="O27" s="2">
        <v>12</v>
      </c>
      <c r="P27" s="2">
        <v>150</v>
      </c>
      <c r="Q27" s="2">
        <f>IF(N27&lt;=600,2,IF(N27&lt;=900,3,4+ROUNDDOWN((N27-900)/300,0)))</f>
        <v>5</v>
      </c>
      <c r="R27" s="3">
        <f t="shared" si="5"/>
        <v>2.7911111111111114E-3</v>
      </c>
      <c r="S27" s="2">
        <v>12</v>
      </c>
      <c r="T27" s="2">
        <v>150</v>
      </c>
      <c r="U27" s="2">
        <f t="shared" si="6"/>
        <v>5</v>
      </c>
      <c r="V27" s="3">
        <f t="shared" si="7"/>
        <v>2.7911111111111114E-3</v>
      </c>
    </row>
    <row r="28" spans="2:22" x14ac:dyDescent="0.15">
      <c r="B28" s="2">
        <v>1400</v>
      </c>
      <c r="C28" s="2">
        <v>12</v>
      </c>
      <c r="D28" s="2">
        <v>150</v>
      </c>
      <c r="E28" s="2">
        <f>IF(B28&lt;=600,2,IF(B28&lt;=900,3,4+ROUNDDOWN((B28-900)/300,0)))</f>
        <v>5</v>
      </c>
      <c r="F28" s="3">
        <f>C28^2*3.14/4*E28/$B28/D28</f>
        <v>2.6914285714285716E-3</v>
      </c>
      <c r="G28" s="2">
        <v>12</v>
      </c>
      <c r="H28" s="2">
        <v>150</v>
      </c>
      <c r="I28" s="2">
        <f t="shared" si="3"/>
        <v>5</v>
      </c>
      <c r="J28" s="3">
        <f>G28^2*3.14/4*I28/$B28/H28</f>
        <v>2.6914285714285716E-3</v>
      </c>
      <c r="N28" s="2">
        <v>1400</v>
      </c>
      <c r="O28" s="2">
        <v>12</v>
      </c>
      <c r="P28" s="2">
        <v>150</v>
      </c>
      <c r="Q28" s="2">
        <f>IF(N28&lt;=600,2,IF(N28&lt;=900,3,4+ROUNDDOWN((N28-900)/300,0)))</f>
        <v>5</v>
      </c>
      <c r="R28" s="3">
        <f t="shared" si="5"/>
        <v>2.6914285714285716E-3</v>
      </c>
      <c r="S28" s="2">
        <v>12</v>
      </c>
      <c r="T28" s="2">
        <v>150</v>
      </c>
      <c r="U28" s="2">
        <f t="shared" si="6"/>
        <v>5</v>
      </c>
      <c r="V28" s="3">
        <f t="shared" si="7"/>
        <v>2.6914285714285716E-3</v>
      </c>
    </row>
    <row r="29" spans="2:22" x14ac:dyDescent="0.15">
      <c r="B29" s="2">
        <v>1450</v>
      </c>
      <c r="C29" s="2">
        <v>12</v>
      </c>
      <c r="D29" s="2">
        <v>150</v>
      </c>
      <c r="E29" s="2">
        <f>IF(B29&lt;=600,2,IF(B29&lt;=900,3,4+ROUNDDOWN((B29-900)/300,0)))</f>
        <v>5</v>
      </c>
      <c r="F29" s="3">
        <f>C29^2*3.14/4*E29/$B29/D29</f>
        <v>2.5986206896551726E-3</v>
      </c>
      <c r="G29" s="2">
        <v>12</v>
      </c>
      <c r="H29" s="2">
        <v>150</v>
      </c>
      <c r="I29" s="2">
        <f t="shared" si="3"/>
        <v>5</v>
      </c>
      <c r="J29" s="3">
        <f>G29^2*3.14/4*I29/$B29/H29</f>
        <v>2.5986206896551726E-3</v>
      </c>
      <c r="N29" s="2">
        <v>1450</v>
      </c>
      <c r="O29" s="2">
        <v>12</v>
      </c>
      <c r="P29" s="2">
        <v>150</v>
      </c>
      <c r="Q29" s="2">
        <f>IF(N29&lt;=600,2,IF(N29&lt;=900,3,4+ROUNDDOWN((N29-900)/300,0)))</f>
        <v>5</v>
      </c>
      <c r="R29" s="3">
        <f t="shared" si="5"/>
        <v>2.5986206896551726E-3</v>
      </c>
      <c r="S29" s="2">
        <v>12</v>
      </c>
      <c r="T29" s="2">
        <v>150</v>
      </c>
      <c r="U29" s="2">
        <f t="shared" si="6"/>
        <v>5</v>
      </c>
      <c r="V29" s="3">
        <f t="shared" si="7"/>
        <v>2.5986206896551726E-3</v>
      </c>
    </row>
    <row r="30" spans="2:22" x14ac:dyDescent="0.15">
      <c r="B30" s="2">
        <v>1500</v>
      </c>
      <c r="C30" s="2">
        <v>12</v>
      </c>
      <c r="D30" s="2">
        <v>150</v>
      </c>
      <c r="E30" s="2">
        <f>IF(B30&lt;=600,2,IF(B30&lt;=900,3,4+ROUNDDOWN((B30-900)/300,0)))</f>
        <v>6</v>
      </c>
      <c r="F30" s="3">
        <f>C30^2*3.14/4*E30/$B30/D30</f>
        <v>3.0144E-3</v>
      </c>
      <c r="G30" s="2">
        <v>12</v>
      </c>
      <c r="H30" s="2">
        <v>150</v>
      </c>
      <c r="I30" s="2">
        <f t="shared" si="3"/>
        <v>6</v>
      </c>
      <c r="J30" s="3">
        <f>G30^2*3.14/4*I30/$B30/H30</f>
        <v>3.0144E-3</v>
      </c>
      <c r="N30" s="2">
        <v>1500</v>
      </c>
      <c r="O30" s="2">
        <v>12</v>
      </c>
      <c r="P30" s="2">
        <v>150</v>
      </c>
      <c r="Q30" s="2">
        <f>IF(N30&lt;=600,2,IF(N30&lt;=900,3,4+ROUNDDOWN((N30-900)/300,0)))</f>
        <v>6</v>
      </c>
      <c r="R30" s="3">
        <f t="shared" si="5"/>
        <v>3.0144E-3</v>
      </c>
      <c r="S30" s="2">
        <v>12</v>
      </c>
      <c r="T30" s="2">
        <v>150</v>
      </c>
      <c r="U30" s="2">
        <f t="shared" si="6"/>
        <v>6</v>
      </c>
      <c r="V30" s="3">
        <f t="shared" si="7"/>
        <v>3.0144E-3</v>
      </c>
    </row>
  </sheetData>
  <mergeCells count="12">
    <mergeCell ref="V2:V3"/>
    <mergeCell ref="N1:V1"/>
    <mergeCell ref="B1:J1"/>
    <mergeCell ref="N2:N3"/>
    <mergeCell ref="O2:Q2"/>
    <mergeCell ref="R2:R3"/>
    <mergeCell ref="S2:U2"/>
    <mergeCell ref="J2:J3"/>
    <mergeCell ref="C2:E2"/>
    <mergeCell ref="G2:I2"/>
    <mergeCell ref="B2:B3"/>
    <mergeCell ref="F2:F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说明</vt:lpstr>
      <vt:lpstr>wallrebar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2017-03-24T08:11:53Z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b6a302b2-3f3e-4dba-9b19-82ee9b6ca01e</vt:lpwstr>
  </property>
</Properties>
</file>